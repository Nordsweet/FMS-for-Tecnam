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ZUPELNIJ PRZED LOTEM" sheetId="1" state="visible" r:id="rId3"/>
    <sheet name="PAX" sheetId="2" state="visible" r:id="rId4"/>
    <sheet name="W&amp;B Dane" sheetId="3" state="visible" r:id="rId5"/>
    <sheet name="W&amp;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<sst xmlns="http://schemas.openxmlformats.org/spreadsheetml/2006/main" count="102" uniqueCount="82">
  <si>
    <t xml:space="preserve">NUMER LOTU</t>
  </si>
  <si>
    <t xml:space="preserve">PASAZER PRZOD</t>
  </si>
  <si>
    <t xml:space="preserve">KG</t>
  </si>
  <si>
    <t xml:space="preserve">PLANOWANA GODZINA LOTU</t>
  </si>
  <si>
    <t xml:space="preserve">1700</t>
  </si>
  <si>
    <t xml:space="preserve">CET</t>
  </si>
  <si>
    <t xml:space="preserve">PASAZER TYL</t>
  </si>
  <si>
    <t xml:space="preserve">PALIWO T/O</t>
  </si>
  <si>
    <t xml:space="preserve">L</t>
  </si>
  <si>
    <t xml:space="preserve">PALIWO LAND</t>
  </si>
  <si>
    <t xml:space="preserve">TRASA T:</t>
  </si>
  <si>
    <t xml:space="preserve">OE-KMT</t>
  </si>
  <si>
    <t xml:space="preserve">DATA</t>
  </si>
  <si>
    <t xml:space="preserve">NR ZLECENIA NA LOT</t>
  </si>
  <si>
    <t xml:space="preserve">39/AOC/2025</t>
  </si>
  <si>
    <t xml:space="preserve">HOBBS</t>
  </si>
  <si>
    <t xml:space="preserve">PALIWO DOLANE</t>
  </si>
  <si>
    <t xml:space="preserve">LISTA UCZESNIKÓW LOTU (PASAŻERÓW)</t>
  </si>
  <si>
    <t xml:space="preserve">Data</t>
  </si>
  <si>
    <t xml:space="preserve">Typ statku powietrznego</t>
  </si>
  <si>
    <t xml:space="preserve">C172R</t>
  </si>
  <si>
    <t xml:space="preserve">Znaki</t>
  </si>
  <si>
    <t xml:space="preserve">Dowódca statku powietrznego</t>
  </si>
  <si>
    <t xml:space="preserve">SZYMON SKRABA</t>
  </si>
  <si>
    <t xml:space="preserve">Trasa lotu</t>
  </si>
  <si>
    <t xml:space="preserve">T</t>
  </si>
  <si>
    <t xml:space="preserve">Nr zlecenia na lot</t>
  </si>
  <si>
    <t xml:space="preserve">LP.</t>
  </si>
  <si>
    <t xml:space="preserve">Imię i nazwisko</t>
  </si>
  <si>
    <t xml:space="preserve">Adres</t>
  </si>
  <si>
    <t xml:space="preserve">Podpis</t>
  </si>
  <si>
    <t xml:space="preserve">Waga pasażera</t>
  </si>
  <si>
    <t xml:space="preserve">Uwagi</t>
  </si>
  <si>
    <t xml:space="preserve">1.</t>
  </si>
  <si>
    <t xml:space="preserve">2.</t>
  </si>
  <si>
    <t xml:space="preserve">3.</t>
  </si>
  <si>
    <t xml:space="preserve">Podpis dowódcy statku</t>
  </si>
  <si>
    <t xml:space="preserve">.................................</t>
  </si>
  <si>
    <t xml:space="preserve">KG/LBS</t>
  </si>
  <si>
    <t xml:space="preserve">Pusty samolot</t>
  </si>
  <si>
    <t xml:space="preserve">AVGAS</t>
  </si>
  <si>
    <t xml:space="preserve">kg/litr</t>
  </si>
  <si>
    <t xml:space="preserve">Olej</t>
  </si>
  <si>
    <t xml:space="preserve">Paliwo</t>
  </si>
  <si>
    <t xml:space="preserve">Ważenie samolotu</t>
  </si>
  <si>
    <t xml:space="preserve">kg</t>
  </si>
  <si>
    <t xml:space="preserve">Przednie fotele</t>
  </si>
  <si>
    <t xml:space="preserve">średni zakres</t>
  </si>
  <si>
    <t xml:space="preserve">Tylne fotele</t>
  </si>
  <si>
    <t xml:space="preserve">Paliwo TO litry</t>
  </si>
  <si>
    <t xml:space="preserve">Bagaż</t>
  </si>
  <si>
    <t xml:space="preserve">Paliwo LND litry</t>
  </si>
  <si>
    <t xml:space="preserve">Pilot waga</t>
  </si>
  <si>
    <t xml:space="preserve">Aeroklub Nowy Targ</t>
  </si>
  <si>
    <t xml:space="preserve">AOC</t>
  </si>
  <si>
    <t xml:space="preserve">Arkusz załadowania</t>
  </si>
  <si>
    <t xml:space="preserve">Trasa</t>
  </si>
  <si>
    <t xml:space="preserve">ZNAKI REJESTRACYJNE</t>
  </si>
  <si>
    <t xml:space="preserve">PAX</t>
  </si>
  <si>
    <t xml:space="preserve">7</t>
  </si>
  <si>
    <t xml:space="preserve">L.p.</t>
  </si>
  <si>
    <t xml:space="preserve">Rodzaj obciążenia</t>
  </si>
  <si>
    <t xml:space="preserve">START</t>
  </si>
  <si>
    <t xml:space="preserve">LĄDOWANIE</t>
  </si>
  <si>
    <t xml:space="preserve">CIĘŻAR</t>
  </si>
  <si>
    <t xml:space="preserve">MOMENT/1000</t>
  </si>
  <si>
    <t xml:space="preserve">lbs</t>
  </si>
  <si>
    <t xml:space="preserve">lbs*inches</t>
  </si>
  <si>
    <t xml:space="preserve">Zdefiniowany ciężar pustego samolotu</t>
  </si>
  <si>
    <t xml:space="preserve">Pilot + pasażer na przednim fotelu</t>
  </si>
  <si>
    <t xml:space="preserve">+</t>
  </si>
  <si>
    <t xml:space="preserve">Pasażerowie na tylnych fotelach</t>
  </si>
  <si>
    <t xml:space="preserve">Ciężar do startu (max 2300 lbs)</t>
  </si>
  <si>
    <t xml:space="preserve">TOW</t>
  </si>
  <si>
    <t xml:space="preserve">Ciężar do lądowania</t>
  </si>
  <si>
    <t xml:space="preserve">LW</t>
  </si>
  <si>
    <t xml:space="preserve">CG = Moment / Ciężar</t>
  </si>
  <si>
    <r>
      <rPr>
        <b val="true"/>
        <sz val="14"/>
        <color theme="1"/>
        <rFont val="Calibri"/>
        <family val="0"/>
        <charset val="238"/>
      </rPr>
      <t xml:space="preserve">CGTOW =</t>
    </r>
    <r>
      <rPr>
        <b val="true"/>
        <sz val="11"/>
        <color theme="1"/>
        <rFont val="Calibri"/>
        <family val="0"/>
        <charset val="238"/>
      </rPr>
      <t xml:space="preserve"> </t>
    </r>
  </si>
  <si>
    <t xml:space="preserve">CGLW =</t>
  </si>
  <si>
    <t xml:space="preserve">OPRACOWAŁ</t>
  </si>
  <si>
    <t xml:space="preserve">B. GUZIK</t>
  </si>
  <si>
    <t xml:space="preserve">PODPIS DOWÓDCY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</si>
</sst>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0.0"/>
    <numFmt numFmtId="168" formatCode="0"/>
    <numFmt numFmtId="169" formatCode="0.00"/>
  </numFmts>
  <fonts count="21">
    <font>
      <sz val="11"/>
      <color theme="1"/>
      <name val="Calibri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8"/>
      <color theme="1"/>
      <name val="Calibri"/>
      <family val="0"/>
      <charset val="238"/>
    </font>
    <font>
      <sz val="14"/>
      <color theme="1"/>
      <name val="Calibri"/>
      <family val="0"/>
      <charset val="238"/>
    </font>
    <font>
      <sz val="28"/>
      <color theme="1"/>
      <name val="Calibri"/>
      <family val="0"/>
      <charset val="238"/>
    </font>
    <font>
      <sz val="10"/>
      <color theme="1"/>
      <name val="Calibri"/>
      <family val="0"/>
      <charset val="238"/>
    </font>
    <font>
      <sz val="24"/>
      <color theme="1"/>
      <name val="Calibri"/>
      <family val="0"/>
      <charset val="238"/>
    </font>
    <font>
      <b val="true"/>
      <sz val="14"/>
      <color theme="1"/>
      <name val="Arial"/>
      <family val="0"/>
      <charset val="238"/>
    </font>
    <font>
      <sz val="10"/>
      <color theme="1"/>
      <name val="Arial"/>
      <family val="0"/>
      <charset val="238"/>
    </font>
    <font>
      <sz val="10"/>
      <color theme="1"/>
      <name val="Arial"/>
      <family val="2"/>
      <charset val="238"/>
    </font>
    <font>
      <b val="true"/>
      <sz val="16"/>
      <color theme="1"/>
      <name val="Calibri"/>
      <family val="0"/>
      <charset val="238"/>
    </font>
    <font>
      <b val="true"/>
      <sz val="18"/>
      <color theme="1"/>
      <name val="Calibri"/>
      <family val="0"/>
      <charset val="238"/>
    </font>
    <font>
      <b val="true"/>
      <sz val="12"/>
      <color theme="1"/>
      <name val="Calibri"/>
      <family val="0"/>
      <charset val="238"/>
    </font>
    <font>
      <b val="true"/>
      <sz val="14"/>
      <color theme="1"/>
      <name val="Calibri"/>
      <family val="0"/>
      <charset val="238"/>
    </font>
    <font>
      <sz val="8"/>
      <color theme="1"/>
      <name val="Arial"/>
      <family val="0"/>
      <charset val="238"/>
    </font>
    <font>
      <sz val="9"/>
      <color theme="1"/>
      <name val="Arial"/>
      <family val="0"/>
      <charset val="238"/>
    </font>
    <font>
      <sz val="12"/>
      <color theme="1"/>
      <name val="Calibri"/>
      <family val="0"/>
      <charset val="238"/>
    </font>
    <font>
      <b val="true"/>
      <sz val="11"/>
      <color theme="1"/>
      <name val="Calibri"/>
      <family val="0"/>
      <charset val="238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D0CECE"/>
        <bgColor rgb="FFCCCCCC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  <border diagonalUp="false" diagonalDown="false">
      <left style="medium">
        <color rgb="FFCCCCCC"/>
      </left>
      <right style="medium">
        <color rgb="FFFFFFFF"/>
      </right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FFFFFF"/>
      </right>
      <top style="medium">
        <color rgb="FFCCCCCC"/>
      </top>
      <bottom style="medium"/>
      <diagonal/>
    </border>
    <border diagonalUp="false" diagonalDown="false">
      <left style="medium"/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/>
      <bottom style="medium">
        <color rgb="FFCCCCCC"/>
      </bottom>
      <diagonal/>
    </border>
    <border diagonalUp="false" diagonalDown="false">
      <left/>
      <right style="medium">
        <color rgb="FFCCCCCC"/>
      </right>
      <top style="medium"/>
      <bottom style="medium">
        <color rgb="FFCCCCCC"/>
      </bottom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>
        <color rgb="FFCCCCCC"/>
      </bottom>
      <diagonal/>
    </border>
    <border diagonalUp="false" diagonalDown="false">
      <left/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>
        <color rgb="FFFFFFFF"/>
      </left>
      <right/>
      <top style="medium"/>
      <bottom style="medium">
        <color rgb="FFFFFFFF"/>
      </bottom>
      <diagonal/>
    </border>
    <border diagonalUp="false" diagonalDown="false">
      <left/>
      <right/>
      <top style="medium"/>
      <bottom style="medium">
        <color rgb="FFFFFFFF"/>
      </bottom>
      <diagonal/>
    </border>
    <border diagonalUp="false" diagonalDown="false">
      <left/>
      <right style="medium">
        <color rgb="FFFFFFFF"/>
      </right>
      <top style="medium"/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6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2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2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2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2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2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2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1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2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4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0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5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3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4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CCCCC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7452620572474"/>
          <c:y val="0.0745702952842662"/>
          <c:w val="0.665011109658868"/>
          <c:h val="0.797972675187307"/>
        </c:manualLayout>
      </c:layout>
      <c:scatterChart>
        <c:scatterStyle val="lineMarker"/>
        <c:varyColors val="0"/>
        <c:ser>
          <c:idx val="0"/>
          <c:order val="0"/>
          <c:tx>
            <c:strRef>
              <c:f>"Takeoff"</c:f>
              <c:strCache>
                <c:ptCount val="1"/>
                <c:pt idx="0">
                  <c:v>Takeoff</c:v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x"/>
            <c:size val="15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lang="pl-PL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'W&amp;B'!$G$32</c:f>
              <c:numCache>
                <c:formatCode>0.0</c:formatCode>
                <c:ptCount val="1"/>
                <c:pt idx="0">
                  <c:v>103.715071253908</c:v>
                </c:pt>
              </c:numCache>
            </c:numRef>
          </c:xVal>
          <c:yVal>
            <c:numRef>
              <c:f>'W&amp;B'!$H$32</c:f>
              <c:numCache>
                <c:formatCode>General</c:formatCode>
                <c:ptCount val="1"/>
                <c:pt idx="0">
                  <c:v>2466.77577344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"Landing"</c:f>
              <c:strCache>
                <c:ptCount val="1"/>
                <c:pt idx="0">
                  <c:v>Landing</c:v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plus"/>
            <c:size val="15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lang="pl-PL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'W&amp;B'!$G$33</c:f>
              <c:numCache>
                <c:formatCode>0.0</c:formatCode>
                <c:ptCount val="1"/>
                <c:pt idx="0">
                  <c:v>101.656790780051</c:v>
                </c:pt>
              </c:numCache>
            </c:numRef>
          </c:xVal>
          <c:yVal>
            <c:numRef>
              <c:f>'W&amp;B'!$H$33</c:f>
              <c:numCache>
                <c:formatCode>0</c:formatCode>
                <c:ptCount val="1"/>
                <c:pt idx="0">
                  <c:v>2423.8584359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"Normal category"</c:f>
              <c:strCache>
                <c:ptCount val="1"/>
                <c:pt idx="0">
                  <c:v>Normal category</c:v>
                </c:pt>
              </c:strCache>
            </c:strRef>
          </c:tx>
          <c:spPr>
            <a:solidFill>
              <a:srgbClr val="4a7ebb"/>
            </a:solidFill>
            <a:ln cap="rnd" w="93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lang="pl-PL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'W&amp;B Dane'!$F$8:$F$12</c:f>
              <c:numCache>
                <c:formatCode>General</c:formatCode>
                <c:ptCount val="5"/>
                <c:pt idx="0">
                  <c:v>56</c:v>
                </c:pt>
                <c:pt idx="1">
                  <c:v>68</c:v>
                </c:pt>
                <c:pt idx="2">
                  <c:v>104.5</c:v>
                </c:pt>
                <c:pt idx="3">
                  <c:v>120.5</c:v>
                </c:pt>
                <c:pt idx="4">
                  <c:v>75</c:v>
                </c:pt>
              </c:numCache>
            </c:numRef>
          </c:xVal>
          <c:yVal>
            <c:numRef>
              <c:f>'W&amp;B Dane'!$G$8:$G$12</c:f>
              <c:numCache>
                <c:formatCode>General</c:formatCode>
                <c:ptCount val="5"/>
                <c:pt idx="0">
                  <c:v>1600</c:v>
                </c:pt>
                <c:pt idx="1">
                  <c:v>1950</c:v>
                </c:pt>
                <c:pt idx="2">
                  <c:v>2550</c:v>
                </c:pt>
                <c:pt idx="3">
                  <c:v>2550</c:v>
                </c:pt>
                <c:pt idx="4">
                  <c:v>1600</c:v>
                </c:pt>
              </c:numCache>
            </c:numRef>
          </c:yVal>
          <c:smooth val="0"/>
        </c:ser>
        <c:axId val="85943699"/>
        <c:axId val="13116395"/>
      </c:scatterChart>
      <c:valAx>
        <c:axId val="85943699"/>
        <c:scaling>
          <c:orientation val="minMax"/>
          <c:max val="125"/>
          <c:min val="50"/>
        </c:scaling>
        <c:delete val="0"/>
        <c:axPos val="b"/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lang="pl-PL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116395"/>
        <c:crosses val="autoZero"/>
        <c:crossBetween val="midCat"/>
      </c:valAx>
      <c:valAx>
        <c:axId val="13116395"/>
        <c:scaling>
          <c:orientation val="minMax"/>
          <c:max val="2600"/>
          <c:min val="16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lang="pl-PL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94369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58144975936509"/>
          <c:y val="0.393134660250802"/>
          <c:w val="0.241855024063491"/>
          <c:h val="0.30519685039370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lang="pl-PL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53280</xdr:colOff>
      <xdr:row>29</xdr:row>
      <xdr:rowOff>92880</xdr:rowOff>
    </xdr:from>
    <xdr:to>
      <xdr:col>13</xdr:col>
      <xdr:colOff>309240</xdr:colOff>
      <xdr:row>52</xdr:row>
      <xdr:rowOff>14400</xdr:rowOff>
    </xdr:to>
    <xdr:graphicFrame>
      <xdr:nvGraphicFramePr>
        <xdr:cNvPr id="0" name="Wykres 1"/>
        <xdr:cNvGraphicFramePr/>
      </xdr:nvGraphicFramePr>
      <xdr:xfrm>
        <a:off x="347760" y="5474520"/>
        <a:ext cx="5508360" cy="408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9140625" defaultRowHeight="23.25" customHeight="true" zeroHeight="false" outlineLevelRow="0" outlineLevelCol="0"/>
  <cols>
    <col collapsed="false" customWidth="true" hidden="false" outlineLevel="0" max="1" min="1" style="1" width="14.36"/>
    <col collapsed="false" customWidth="true" hidden="false" outlineLevel="0" max="2" min="2" style="2" width="25.82"/>
    <col collapsed="false" customWidth="false" hidden="false" outlineLevel="0" max="14" min="3" style="2" width="8.91"/>
    <col collapsed="false" customWidth="true" hidden="false" outlineLevel="0" max="15" min="15" style="2" width="24.73"/>
    <col collapsed="false" customWidth="false" hidden="false" outlineLevel="0" max="16384" min="16" style="2" width="8.91"/>
  </cols>
  <sheetData>
    <row r="1" customFormat="false" ht="32.25" hidden="false" customHeight="true" outlineLevel="0" collapsed="false">
      <c r="A1" s="3" t="s">
        <v>0</v>
      </c>
      <c r="B1" s="4" t="n">
        <v>7</v>
      </c>
      <c r="D1" s="2" t="n">
        <v>5</v>
      </c>
    </row>
    <row r="2" customFormat="false" ht="32.25" hidden="false" customHeight="true" outlineLevel="0" collapsed="false">
      <c r="A2" s="5" t="s">
        <v>1</v>
      </c>
      <c r="B2" s="6" t="n">
        <v>100</v>
      </c>
      <c r="C2" s="2" t="s">
        <v>2</v>
      </c>
      <c r="N2" s="7" t="s">
        <v>3</v>
      </c>
      <c r="O2" s="8" t="s">
        <v>4</v>
      </c>
      <c r="P2" s="9" t="s">
        <v>5</v>
      </c>
    </row>
    <row r="3" customFormat="false" ht="32.25" hidden="false" customHeight="true" outlineLevel="0" collapsed="false">
      <c r="A3" s="5" t="s">
        <v>6</v>
      </c>
      <c r="B3" s="6" t="n">
        <v>70</v>
      </c>
      <c r="C3" s="2" t="s">
        <v>2</v>
      </c>
    </row>
    <row r="4" customFormat="false" ht="32.25" hidden="false" customHeight="true" outlineLevel="0" collapsed="false">
      <c r="A4" s="5" t="s">
        <v>6</v>
      </c>
      <c r="B4" s="6" t="n">
        <v>70</v>
      </c>
      <c r="C4" s="2" t="s">
        <v>2</v>
      </c>
    </row>
    <row r="5" customFormat="false" ht="32.25" hidden="false" customHeight="true" outlineLevel="0" collapsed="false">
      <c r="A5" s="5" t="s">
        <v>7</v>
      </c>
      <c r="B5" s="6" t="n">
        <v>72</v>
      </c>
      <c r="C5" s="2" t="s">
        <v>8</v>
      </c>
    </row>
    <row r="6" customFormat="false" ht="32.25" hidden="false" customHeight="true" outlineLevel="0" collapsed="false">
      <c r="A6" s="5" t="s">
        <v>9</v>
      </c>
      <c r="B6" s="6" t="n">
        <v>45</v>
      </c>
      <c r="C6" s="2" t="s">
        <v>8</v>
      </c>
    </row>
    <row r="7" customFormat="false" ht="32.25" hidden="false" customHeight="true" outlineLevel="0" collapsed="false">
      <c r="N7" s="5" t="s">
        <v>10</v>
      </c>
      <c r="O7" s="6" t="n">
        <v>6</v>
      </c>
    </row>
    <row r="8" customFormat="false" ht="32.25" hidden="false" customHeight="true" outlineLevel="0" collapsed="false">
      <c r="B8" s="2" t="s">
        <v>11</v>
      </c>
    </row>
    <row r="9" customFormat="false" ht="32.25" hidden="false" customHeight="true" outlineLevel="0" collapsed="false">
      <c r="N9" s="5" t="s">
        <v>12</v>
      </c>
      <c r="O9" s="10" t="n">
        <v>45480</v>
      </c>
    </row>
    <row r="10" customFormat="false" ht="32.25" hidden="false" customHeight="true" outlineLevel="0" collapsed="false">
      <c r="N10" s="5" t="s">
        <v>13</v>
      </c>
      <c r="O10" s="11" t="s">
        <v>14</v>
      </c>
    </row>
    <row r="11" customFormat="false" ht="32.25" hidden="false" customHeight="true" outlineLevel="0" collapsed="false">
      <c r="N11" s="5" t="s">
        <v>15</v>
      </c>
      <c r="O11" s="6"/>
    </row>
    <row r="12" customFormat="false" ht="32.25" hidden="false" customHeight="true" outlineLevel="0" collapsed="false">
      <c r="N12" s="12" t="s">
        <v>16</v>
      </c>
      <c r="O12" s="13"/>
    </row>
    <row r="13" customFormat="false" ht="60" hidden="false" customHeight="true" outlineLevel="0" collapsed="false"/>
    <row r="14" customFormat="false" ht="60" hidden="false" customHeight="true" outlineLevel="0" collapsed="false"/>
    <row r="15" customFormat="false" ht="60" hidden="false" customHeight="true" outlineLevel="0" collapsed="false"/>
    <row r="16" customFormat="false" ht="60" hidden="false" customHeight="true" outlineLevel="0" collapsed="false"/>
    <row r="17" customFormat="false" ht="60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4" width="5.91"/>
    <col collapsed="false" customWidth="true" hidden="false" outlineLevel="0" max="2" min="2" style="14" width="20.54"/>
    <col collapsed="false" customWidth="true" hidden="false" outlineLevel="0" max="4" min="4" style="14" width="19.09"/>
    <col collapsed="false" customWidth="true" hidden="false" outlineLevel="0" max="5" min="5" style="14" width="10.36"/>
  </cols>
  <sheetData>
    <row r="1" customFormat="false" ht="14.25" hidden="false" customHeight="true" outlineLevel="0" collapsed="false">
      <c r="A1" s="15" t="s">
        <v>17</v>
      </c>
      <c r="B1" s="15"/>
      <c r="C1" s="15"/>
      <c r="D1" s="15"/>
      <c r="E1" s="15"/>
      <c r="F1" s="15"/>
      <c r="G1" s="15"/>
    </row>
    <row r="2" customFormat="false" ht="14.25" hidden="false" customHeight="false" outlineLevel="0" collapsed="false">
      <c r="A2" s="15"/>
      <c r="B2" s="15"/>
      <c r="C2" s="15"/>
      <c r="D2" s="15"/>
      <c r="E2" s="15"/>
      <c r="F2" s="15"/>
      <c r="G2" s="15"/>
    </row>
    <row r="3" customFormat="false" ht="14.25" hidden="false" customHeight="false" outlineLevel="0" collapsed="false">
      <c r="A3" s="16"/>
      <c r="B3" s="16"/>
      <c r="C3" s="16"/>
      <c r="D3" s="16"/>
      <c r="E3" s="16"/>
      <c r="F3" s="16"/>
      <c r="G3" s="16"/>
    </row>
    <row r="4" customFormat="false" ht="14.25" hidden="false" customHeight="false" outlineLevel="0" collapsed="false">
      <c r="A4" s="16" t="s">
        <v>18</v>
      </c>
      <c r="B4" s="16"/>
      <c r="C4" s="16"/>
      <c r="D4" s="17" t="n">
        <f aca="false">'W&amp;B'!A4</f>
        <v>45480</v>
      </c>
      <c r="E4" s="16"/>
      <c r="F4" s="16"/>
      <c r="G4" s="16"/>
    </row>
    <row r="5" customFormat="false" ht="14.25" hidden="false" customHeight="false" outlineLevel="0" collapsed="false">
      <c r="A5" s="18" t="s">
        <v>19</v>
      </c>
      <c r="B5" s="16"/>
      <c r="C5" s="16"/>
      <c r="D5" s="18" t="s">
        <v>20</v>
      </c>
      <c r="E5" s="16"/>
      <c r="F5" s="16"/>
      <c r="G5" s="16"/>
    </row>
    <row r="6" customFormat="false" ht="14.25" hidden="false" customHeight="false" outlineLevel="0" collapsed="false">
      <c r="A6" s="16" t="s">
        <v>21</v>
      </c>
      <c r="B6" s="16"/>
      <c r="C6" s="16"/>
      <c r="D6" s="18" t="s">
        <v>11</v>
      </c>
      <c r="E6" s="16"/>
      <c r="F6" s="16"/>
      <c r="G6" s="16"/>
    </row>
    <row r="7" customFormat="false" ht="14.25" hidden="false" customHeight="false" outlineLevel="0" collapsed="false">
      <c r="A7" s="18" t="s">
        <v>22</v>
      </c>
      <c r="B7" s="16"/>
      <c r="C7" s="16"/>
      <c r="D7" s="18" t="s">
        <v>23</v>
      </c>
      <c r="E7" s="16"/>
      <c r="F7" s="16"/>
      <c r="G7" s="16"/>
    </row>
    <row r="8" customFormat="false" ht="14.25" hidden="false" customHeight="false" outlineLevel="0" collapsed="false">
      <c r="A8" s="18" t="s">
        <v>24</v>
      </c>
      <c r="B8" s="16"/>
      <c r="C8" s="19" t="s">
        <v>25</v>
      </c>
      <c r="D8" s="20" t="n">
        <f aca="false">'UZUPELNIJ PRZED LOTEM'!O7</f>
        <v>6</v>
      </c>
      <c r="E8" s="16"/>
      <c r="F8" s="16"/>
      <c r="G8" s="16"/>
    </row>
    <row r="9" customFormat="false" ht="14.25" hidden="false" customHeight="false" outlineLevel="0" collapsed="false">
      <c r="A9" s="18" t="s">
        <v>26</v>
      </c>
      <c r="B9" s="16"/>
      <c r="C9" s="16"/>
      <c r="D9" s="21"/>
      <c r="E9" s="16"/>
      <c r="F9" s="16"/>
      <c r="G9" s="16"/>
    </row>
    <row r="10" customFormat="false" ht="14.25" hidden="false" customHeight="false" outlineLevel="0" collapsed="false">
      <c r="A10" s="16"/>
      <c r="B10" s="16"/>
      <c r="C10" s="16"/>
      <c r="D10" s="16"/>
      <c r="E10" s="16"/>
      <c r="F10" s="16"/>
      <c r="G10" s="16"/>
    </row>
    <row r="11" customFormat="false" ht="14.25" hidden="false" customHeight="false" outlineLevel="0" collapsed="false">
      <c r="A11" s="16"/>
      <c r="B11" s="16"/>
      <c r="C11" s="16"/>
      <c r="D11" s="16"/>
      <c r="E11" s="16"/>
      <c r="F11" s="16"/>
      <c r="G11" s="16"/>
    </row>
    <row r="12" customFormat="false" ht="14.25" hidden="false" customHeight="false" outlineLevel="0" collapsed="false">
      <c r="A12" s="16"/>
      <c r="B12" s="16"/>
      <c r="C12" s="16"/>
      <c r="D12" s="16"/>
      <c r="E12" s="16"/>
      <c r="F12" s="16"/>
      <c r="G12" s="16"/>
    </row>
    <row r="13" customFormat="false" ht="23.85" hidden="false" customHeight="false" outlineLevel="0" collapsed="false">
      <c r="A13" s="22" t="s">
        <v>27</v>
      </c>
      <c r="B13" s="23" t="s">
        <v>28</v>
      </c>
      <c r="C13" s="24" t="s">
        <v>29</v>
      </c>
      <c r="D13" s="25"/>
      <c r="E13" s="25" t="s">
        <v>30</v>
      </c>
      <c r="F13" s="25" t="s">
        <v>31</v>
      </c>
      <c r="G13" s="25" t="s">
        <v>32</v>
      </c>
    </row>
    <row r="14" customFormat="false" ht="14.25" hidden="false" customHeight="false" outlineLevel="0" collapsed="false">
      <c r="A14" s="26" t="s">
        <v>33</v>
      </c>
      <c r="B14" s="27"/>
      <c r="C14" s="28"/>
      <c r="D14" s="29"/>
      <c r="E14" s="29"/>
      <c r="F14" s="29" t="n">
        <f aca="false">'UZUPELNIJ PRZED LOTEM'!B2</f>
        <v>100</v>
      </c>
      <c r="G14" s="29"/>
    </row>
    <row r="15" customFormat="false" ht="14.25" hidden="false" customHeight="false" outlineLevel="0" collapsed="false">
      <c r="A15" s="26" t="s">
        <v>34</v>
      </c>
      <c r="B15" s="27"/>
      <c r="C15" s="28"/>
      <c r="D15" s="29"/>
      <c r="E15" s="29"/>
      <c r="F15" s="29" t="n">
        <f aca="false">'UZUPELNIJ PRZED LOTEM'!B3</f>
        <v>70</v>
      </c>
      <c r="G15" s="29"/>
    </row>
    <row r="16" customFormat="false" ht="14.25" hidden="false" customHeight="false" outlineLevel="0" collapsed="false">
      <c r="A16" s="26" t="s">
        <v>35</v>
      </c>
      <c r="B16" s="27"/>
      <c r="C16" s="28"/>
      <c r="D16" s="29"/>
      <c r="E16" s="29"/>
      <c r="F16" s="29" t="n">
        <f aca="false">'UZUPELNIJ PRZED LOTEM'!B4</f>
        <v>70</v>
      </c>
      <c r="G16" s="29"/>
    </row>
    <row r="17" customFormat="false" ht="14.25" hidden="false" customHeight="false" outlineLevel="0" collapsed="false">
      <c r="A17" s="16"/>
      <c r="B17" s="16"/>
      <c r="C17" s="16"/>
      <c r="D17" s="16"/>
      <c r="E17" s="16"/>
      <c r="F17" s="16"/>
      <c r="G17" s="16"/>
    </row>
    <row r="18" customFormat="false" ht="14.25" hidden="false" customHeight="false" outlineLevel="0" collapsed="false">
      <c r="A18" s="16"/>
      <c r="B18" s="16"/>
      <c r="C18" s="16"/>
      <c r="D18" s="16"/>
      <c r="E18" s="16"/>
      <c r="F18" s="16"/>
      <c r="G18" s="16"/>
    </row>
    <row r="19" customFormat="false" ht="14.25" hidden="false" customHeight="false" outlineLevel="0" collapsed="false">
      <c r="A19" s="16"/>
      <c r="B19" s="16"/>
      <c r="C19" s="16"/>
      <c r="D19" s="16"/>
      <c r="E19" s="16"/>
      <c r="F19" s="16"/>
      <c r="G19" s="16"/>
    </row>
    <row r="20" customFormat="false" ht="14.25" hidden="false" customHeight="false" outlineLevel="0" collapsed="false">
      <c r="A20" s="16"/>
      <c r="B20" s="16"/>
      <c r="C20" s="16"/>
      <c r="D20" s="16"/>
      <c r="E20" s="16"/>
      <c r="F20" s="16"/>
      <c r="G20" s="16"/>
    </row>
    <row r="21" customFormat="false" ht="14.25" hidden="false" customHeight="false" outlineLevel="0" collapsed="false">
      <c r="A21" s="16"/>
      <c r="B21" s="16"/>
      <c r="C21" s="16"/>
      <c r="D21" s="16"/>
      <c r="E21" s="16"/>
      <c r="F21" s="16"/>
      <c r="G21" s="16"/>
    </row>
    <row r="22" customFormat="false" ht="14.25" hidden="false" customHeight="false" outlineLevel="0" collapsed="false">
      <c r="A22" s="16"/>
      <c r="B22" s="18" t="s">
        <v>36</v>
      </c>
      <c r="C22" s="16"/>
      <c r="D22" s="16"/>
      <c r="E22" s="16"/>
      <c r="F22" s="16"/>
      <c r="G22" s="16"/>
    </row>
    <row r="23" customFormat="false" ht="14.25" hidden="false" customHeight="false" outlineLevel="0" collapsed="false">
      <c r="A23" s="16"/>
      <c r="B23" s="16"/>
      <c r="C23" s="16"/>
      <c r="D23" s="16"/>
      <c r="E23" s="16"/>
      <c r="F23" s="16"/>
      <c r="G23" s="16"/>
    </row>
    <row r="24" customFormat="false" ht="14.25" hidden="false" customHeight="false" outlineLevel="0" collapsed="false">
      <c r="A24" s="16"/>
      <c r="B24" s="16"/>
      <c r="C24" s="16"/>
      <c r="D24" s="16"/>
      <c r="E24" s="16"/>
      <c r="F24" s="16"/>
      <c r="G24" s="16"/>
    </row>
    <row r="25" customFormat="false" ht="14.25" hidden="false" customHeight="false" outlineLevel="0" collapsed="false">
      <c r="A25" s="16"/>
      <c r="B25" s="16" t="s">
        <v>37</v>
      </c>
      <c r="C25" s="16"/>
      <c r="D25" s="16"/>
      <c r="E25" s="16"/>
      <c r="F25" s="16"/>
      <c r="G25" s="16"/>
    </row>
    <row r="26" customFormat="false" ht="14.25" hidden="false" customHeight="false" outlineLevel="0" collapsed="false">
      <c r="A26" s="16"/>
      <c r="B26" s="16"/>
      <c r="C26" s="16"/>
      <c r="D26" s="16"/>
      <c r="E26" s="16"/>
      <c r="F26" s="16"/>
      <c r="G26" s="16"/>
    </row>
    <row r="27" customFormat="false" ht="14.25" hidden="false" customHeight="false" outlineLevel="0" collapsed="false">
      <c r="A27" s="16"/>
      <c r="B27" s="16"/>
      <c r="C27" s="16"/>
      <c r="D27" s="16"/>
      <c r="E27" s="16"/>
      <c r="F27" s="16"/>
      <c r="G27" s="16"/>
    </row>
    <row r="28" customFormat="false" ht="14.25" hidden="false" customHeight="false" outlineLevel="0" collapsed="false">
      <c r="A28" s="16"/>
      <c r="B28" s="16"/>
      <c r="C28" s="16"/>
      <c r="D28" s="16"/>
      <c r="E28" s="16"/>
      <c r="F28" s="16"/>
      <c r="G28" s="16"/>
    </row>
    <row r="29" customFormat="false" ht="14.25" hidden="false" customHeight="false" outlineLevel="0" collapsed="false">
      <c r="A29" s="16"/>
      <c r="B29" s="16"/>
      <c r="C29" s="16"/>
      <c r="D29" s="16"/>
      <c r="E29" s="16"/>
      <c r="F29" s="16"/>
      <c r="G29" s="16"/>
    </row>
    <row r="30" customFormat="false" ht="14.25" hidden="false" customHeight="false" outlineLevel="0" collapsed="false">
      <c r="A30" s="16"/>
      <c r="B30" s="16"/>
      <c r="C30" s="16"/>
      <c r="D30" s="16"/>
      <c r="E30" s="16"/>
      <c r="F30" s="16"/>
      <c r="G30" s="16"/>
    </row>
    <row r="31" customFormat="false" ht="14.25" hidden="false" customHeight="false" outlineLevel="0" collapsed="false">
      <c r="A31" s="16"/>
      <c r="B31" s="16"/>
      <c r="C31" s="16"/>
      <c r="D31" s="16"/>
      <c r="E31" s="16"/>
      <c r="F31" s="16"/>
      <c r="G31" s="16"/>
    </row>
    <row r="32" customFormat="false" ht="14.25" hidden="false" customHeight="false" outlineLevel="0" collapsed="false">
      <c r="A32" s="30"/>
      <c r="B32" s="30"/>
      <c r="C32" s="30"/>
      <c r="D32" s="30"/>
      <c r="E32" s="30"/>
      <c r="F32" s="30"/>
      <c r="G32" s="30"/>
    </row>
    <row r="33" customFormat="false" ht="14.25" hidden="false" customHeight="false" outlineLevel="0" collapsed="false">
      <c r="A33" s="30"/>
      <c r="B33" s="30"/>
      <c r="C33" s="30"/>
      <c r="D33" s="30"/>
      <c r="E33" s="30"/>
      <c r="F33" s="30"/>
      <c r="G33" s="30"/>
    </row>
    <row r="34" customFormat="false" ht="14.25" hidden="false" customHeight="false" outlineLevel="0" collapsed="false">
      <c r="A34" s="16"/>
      <c r="B34" s="16"/>
      <c r="C34" s="16"/>
      <c r="D34" s="16"/>
      <c r="E34" s="16"/>
      <c r="F34" s="16"/>
      <c r="G34" s="16"/>
    </row>
    <row r="35" customFormat="false" ht="14.25" hidden="false" customHeight="false" outlineLevel="0" collapsed="false">
      <c r="A35" s="16"/>
      <c r="B35" s="16"/>
      <c r="D35" s="16"/>
      <c r="E35" s="16"/>
      <c r="F35" s="16"/>
      <c r="G35" s="16"/>
    </row>
    <row r="36" customFormat="false" ht="14.25" hidden="false" customHeight="false" outlineLevel="0" collapsed="false">
      <c r="A36" s="16"/>
      <c r="B36" s="16"/>
      <c r="D36" s="16"/>
      <c r="E36" s="16"/>
      <c r="F36" s="16"/>
      <c r="G36" s="16"/>
    </row>
  </sheetData>
  <mergeCells count="2">
    <mergeCell ref="A1:G2"/>
    <mergeCell ref="A32:G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2" min="2" style="14" width="12.82"/>
    <col collapsed="false" customWidth="true" hidden="false" outlineLevel="0" max="6" min="6" style="14" width="13.54"/>
  </cols>
  <sheetData>
    <row r="1" customFormat="false" ht="23.85" hidden="false" customHeight="false" outlineLevel="0" collapsed="false">
      <c r="A1" s="31" t="s">
        <v>38</v>
      </c>
      <c r="B1" s="32" t="n">
        <v>2.20462</v>
      </c>
      <c r="C1" s="33"/>
      <c r="D1" s="34" t="n">
        <v>1</v>
      </c>
      <c r="E1" s="35" t="s">
        <v>39</v>
      </c>
      <c r="F1" s="32" t="n">
        <f aca="false">94.1/2.54</f>
        <v>37.0472440944882</v>
      </c>
      <c r="G1" s="33"/>
    </row>
    <row r="2" customFormat="false" ht="14.25" hidden="false" customHeight="false" outlineLevel="0" collapsed="false">
      <c r="A2" s="36" t="s">
        <v>40</v>
      </c>
      <c r="B2" s="37" t="n">
        <v>0.721</v>
      </c>
      <c r="C2" s="38" t="s">
        <v>41</v>
      </c>
      <c r="D2" s="39" t="n">
        <v>2</v>
      </c>
      <c r="E2" s="40" t="s">
        <v>42</v>
      </c>
      <c r="F2" s="37" t="n">
        <v>0</v>
      </c>
      <c r="G2" s="38"/>
    </row>
    <row r="3" customFormat="false" ht="14.25" hidden="false" customHeight="false" outlineLevel="0" collapsed="false">
      <c r="A3" s="36"/>
      <c r="B3" s="40"/>
      <c r="C3" s="38"/>
      <c r="D3" s="39" t="n">
        <v>3</v>
      </c>
      <c r="E3" s="40" t="s">
        <v>43</v>
      </c>
      <c r="F3" s="41" t="n">
        <f aca="false">14100/294</f>
        <v>47.9591836734694</v>
      </c>
      <c r="G3" s="38"/>
    </row>
    <row r="4" customFormat="false" ht="23.85" hidden="false" customHeight="false" outlineLevel="0" collapsed="false">
      <c r="A4" s="42" t="s">
        <v>44</v>
      </c>
      <c r="B4" s="43" t="n">
        <v>757</v>
      </c>
      <c r="C4" s="29" t="s">
        <v>45</v>
      </c>
      <c r="D4" s="39" t="n">
        <v>4</v>
      </c>
      <c r="E4" s="40" t="s">
        <v>46</v>
      </c>
      <c r="F4" s="37" t="n">
        <v>37</v>
      </c>
      <c r="G4" s="38" t="s">
        <v>47</v>
      </c>
    </row>
    <row r="5" customFormat="false" ht="23.85" hidden="false" customHeight="false" outlineLevel="0" collapsed="false">
      <c r="A5" s="44" t="s">
        <v>42</v>
      </c>
      <c r="B5" s="45" t="n">
        <v>8.5</v>
      </c>
      <c r="C5" s="46"/>
      <c r="D5" s="37" t="n">
        <v>5</v>
      </c>
      <c r="E5" s="40" t="s">
        <v>48</v>
      </c>
      <c r="F5" s="37" t="n">
        <v>73</v>
      </c>
      <c r="G5" s="38"/>
    </row>
    <row r="6" customFormat="false" ht="23.85" hidden="false" customHeight="false" outlineLevel="0" collapsed="false">
      <c r="A6" s="26" t="s">
        <v>49</v>
      </c>
      <c r="B6" s="47" t="n">
        <f aca="false">'UZUPELNIJ PRZED LOTEM'!B5</f>
        <v>72</v>
      </c>
      <c r="C6" s="48"/>
      <c r="D6" s="43" t="n">
        <v>6</v>
      </c>
      <c r="E6" s="49" t="s">
        <v>50</v>
      </c>
      <c r="F6" s="43" t="n">
        <v>95</v>
      </c>
      <c r="G6" s="29"/>
    </row>
    <row r="7" customFormat="false" ht="23.85" hidden="false" customHeight="false" outlineLevel="0" collapsed="false">
      <c r="A7" s="26" t="s">
        <v>51</v>
      </c>
      <c r="B7" s="47" t="n">
        <f aca="false">'UZUPELNIJ PRZED LOTEM'!B6</f>
        <v>45</v>
      </c>
      <c r="C7" s="50"/>
      <c r="D7" s="40"/>
      <c r="E7" s="51"/>
      <c r="F7" s="51"/>
      <c r="G7" s="51"/>
    </row>
    <row r="8" customFormat="false" ht="14.25" hidden="false" customHeight="false" outlineLevel="0" collapsed="false">
      <c r="A8" s="26" t="s">
        <v>52</v>
      </c>
      <c r="B8" s="47" t="n">
        <v>70</v>
      </c>
      <c r="C8" s="50"/>
      <c r="D8" s="52"/>
      <c r="E8" s="53" t="n">
        <v>1</v>
      </c>
      <c r="F8" s="32" t="n">
        <v>56</v>
      </c>
      <c r="G8" s="54" t="n">
        <v>1600</v>
      </c>
    </row>
    <row r="9" customFormat="false" ht="14.25" hidden="false" customHeight="false" outlineLevel="0" collapsed="false">
      <c r="A9" s="55"/>
      <c r="B9" s="55"/>
      <c r="C9" s="40"/>
      <c r="D9" s="52"/>
      <c r="E9" s="56" t="n">
        <v>2</v>
      </c>
      <c r="F9" s="37" t="n">
        <v>68</v>
      </c>
      <c r="G9" s="57" t="n">
        <v>1950</v>
      </c>
    </row>
    <row r="10" customFormat="false" ht="14.25" hidden="false" customHeight="false" outlineLevel="0" collapsed="false">
      <c r="A10" s="40"/>
      <c r="B10" s="40"/>
      <c r="C10" s="40"/>
      <c r="D10" s="52"/>
      <c r="E10" s="56" t="n">
        <v>3</v>
      </c>
      <c r="F10" s="37" t="n">
        <v>104.5</v>
      </c>
      <c r="G10" s="57" t="n">
        <v>2550</v>
      </c>
    </row>
    <row r="11" customFormat="false" ht="14.25" hidden="false" customHeight="false" outlineLevel="0" collapsed="false">
      <c r="A11" s="40"/>
      <c r="B11" s="40"/>
      <c r="C11" s="40"/>
      <c r="D11" s="52"/>
      <c r="E11" s="56" t="n">
        <v>4</v>
      </c>
      <c r="F11" s="37" t="n">
        <v>120.5</v>
      </c>
      <c r="G11" s="57" t="n">
        <v>2550</v>
      </c>
    </row>
    <row r="12" customFormat="false" ht="14.25" hidden="false" customHeight="false" outlineLevel="0" collapsed="false">
      <c r="A12" s="40"/>
      <c r="B12" s="40"/>
      <c r="C12" s="40"/>
      <c r="D12" s="52"/>
      <c r="E12" s="58" t="n">
        <v>5</v>
      </c>
      <c r="F12" s="43" t="n">
        <v>75</v>
      </c>
      <c r="G12" s="59" t="n">
        <v>1600</v>
      </c>
    </row>
    <row r="13" customFormat="false" ht="14.25" hidden="false" customHeight="false" outlineLevel="0" collapsed="false">
      <c r="A13" s="40"/>
      <c r="B13" s="40"/>
      <c r="C13" s="40"/>
      <c r="D13" s="40"/>
      <c r="E13" s="55"/>
      <c r="F13" s="55"/>
      <c r="G13" s="5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4" width="4.18"/>
    <col collapsed="false" customWidth="true" hidden="false" outlineLevel="0" max="2" min="2" style="14" width="6.27"/>
    <col collapsed="false" customWidth="true" hidden="false" outlineLevel="0" max="3" min="3" style="14" width="4.54"/>
    <col collapsed="false" customWidth="true" hidden="false" outlineLevel="0" max="4" min="4" style="14" width="5"/>
    <col collapsed="false" customWidth="true" hidden="false" outlineLevel="0" max="5" min="5" style="14" width="3.45"/>
    <col collapsed="false" customWidth="true" hidden="false" outlineLevel="0" max="6" min="6" style="14" width="6.09"/>
    <col collapsed="false" customWidth="true" hidden="false" outlineLevel="0" max="7" min="7" style="14" width="4.45"/>
    <col collapsed="false" customWidth="true" hidden="false" outlineLevel="0" max="8" min="8" style="14" width="7.63"/>
    <col collapsed="false" customWidth="true" hidden="false" outlineLevel="0" max="9" min="9" style="14" width="7.36"/>
    <col collapsed="false" customWidth="true" hidden="false" outlineLevel="0" max="11" min="10" style="14" width="7.09"/>
    <col collapsed="false" customWidth="true" hidden="false" outlineLevel="0" max="12" min="12" style="14" width="8.18"/>
    <col collapsed="false" customWidth="true" hidden="false" outlineLevel="0" max="13" min="13" style="14" width="7.36"/>
    <col collapsed="false" customWidth="true" hidden="false" outlineLevel="0" max="15" min="14" style="14" width="8.09"/>
    <col collapsed="false" customWidth="true" hidden="false" outlineLevel="0" max="19" min="19" style="14" width="9.18"/>
    <col collapsed="false" customWidth="true" hidden="false" outlineLevel="0" max="20" min="20" style="14" width="9.45"/>
  </cols>
  <sheetData>
    <row r="1" customFormat="false" ht="14.25" hidden="false" customHeight="true" outlineLevel="0" collapsed="false">
      <c r="A1" s="60" t="s">
        <v>53</v>
      </c>
      <c r="B1" s="60"/>
      <c r="C1" s="60"/>
      <c r="D1" s="60"/>
      <c r="E1" s="60"/>
      <c r="F1" s="60"/>
      <c r="G1" s="60"/>
      <c r="H1" s="61" t="s">
        <v>54</v>
      </c>
      <c r="I1" s="61"/>
      <c r="J1" s="60" t="s">
        <v>55</v>
      </c>
      <c r="K1" s="60"/>
      <c r="L1" s="60"/>
      <c r="M1" s="60"/>
      <c r="N1" s="60"/>
      <c r="O1" s="60"/>
    </row>
    <row r="2" customFormat="false" ht="14.25" hidden="false" customHeight="false" outlineLevel="0" collapsed="false">
      <c r="A2" s="60"/>
      <c r="B2" s="60"/>
      <c r="C2" s="60"/>
      <c r="D2" s="60"/>
      <c r="E2" s="60"/>
      <c r="F2" s="60"/>
      <c r="G2" s="60"/>
      <c r="H2" s="61"/>
      <c r="I2" s="61"/>
      <c r="J2" s="60"/>
      <c r="K2" s="60"/>
      <c r="L2" s="60"/>
      <c r="M2" s="60"/>
      <c r="N2" s="60"/>
      <c r="O2" s="60"/>
    </row>
    <row r="3" customFormat="false" ht="15" hidden="false" customHeight="true" outlineLevel="0" collapsed="false">
      <c r="A3" s="62" t="s">
        <v>12</v>
      </c>
      <c r="B3" s="62"/>
      <c r="C3" s="63" t="s">
        <v>56</v>
      </c>
      <c r="D3" s="63"/>
      <c r="E3" s="63"/>
      <c r="F3" s="63"/>
      <c r="G3" s="63" t="s">
        <v>0</v>
      </c>
      <c r="H3" s="63"/>
      <c r="I3" s="63"/>
      <c r="J3" s="63"/>
      <c r="K3" s="63" t="s">
        <v>57</v>
      </c>
      <c r="L3" s="63"/>
      <c r="M3" s="63"/>
      <c r="N3" s="63" t="s">
        <v>58</v>
      </c>
      <c r="O3" s="63"/>
    </row>
    <row r="4" customFormat="false" ht="14.25" hidden="false" customHeight="true" outlineLevel="0" collapsed="false">
      <c r="A4" s="64" t="n">
        <f aca="false">'UZUPELNIJ PRZED LOTEM'!O9</f>
        <v>45480</v>
      </c>
      <c r="B4" s="64"/>
      <c r="C4" s="65" t="n">
        <v>6</v>
      </c>
      <c r="D4" s="65"/>
      <c r="E4" s="65"/>
      <c r="F4" s="65"/>
      <c r="G4" s="66"/>
      <c r="H4" s="67" t="s">
        <v>59</v>
      </c>
      <c r="I4" s="65"/>
      <c r="J4" s="65"/>
      <c r="K4" s="68" t="s">
        <v>11</v>
      </c>
      <c r="L4" s="68"/>
      <c r="M4" s="68"/>
      <c r="N4" s="69" t="n">
        <f aca="false">COUNT('UZUPELNIJ PRZED LOTEM'!B2:B4)</f>
        <v>3</v>
      </c>
      <c r="O4" s="69"/>
    </row>
    <row r="5" customFormat="false" ht="15" hidden="false" customHeight="true" outlineLevel="0" collapsed="false">
      <c r="A5" s="70" t="s">
        <v>4</v>
      </c>
      <c r="B5" s="71" t="s">
        <v>5</v>
      </c>
      <c r="C5" s="65"/>
      <c r="D5" s="65"/>
      <c r="E5" s="65"/>
      <c r="F5" s="65"/>
      <c r="G5" s="66"/>
      <c r="H5" s="67"/>
      <c r="I5" s="65"/>
      <c r="J5" s="65"/>
      <c r="K5" s="68"/>
      <c r="L5" s="68"/>
      <c r="M5" s="68"/>
      <c r="N5" s="69"/>
      <c r="O5" s="69"/>
    </row>
    <row r="6" customFormat="false" ht="14.25" hidden="false" customHeight="true" outlineLevel="0" collapsed="false">
      <c r="A6" s="72" t="s">
        <v>60</v>
      </c>
      <c r="B6" s="72" t="s">
        <v>61</v>
      </c>
      <c r="C6" s="72"/>
      <c r="D6" s="72"/>
      <c r="E6" s="72"/>
      <c r="F6" s="72"/>
      <c r="G6" s="72"/>
      <c r="H6" s="73" t="s">
        <v>62</v>
      </c>
      <c r="I6" s="73"/>
      <c r="J6" s="73"/>
      <c r="K6" s="73"/>
      <c r="L6" s="73" t="s">
        <v>63</v>
      </c>
      <c r="M6" s="73"/>
      <c r="N6" s="73"/>
      <c r="O6" s="73"/>
    </row>
    <row r="7" customFormat="false" ht="14.25" hidden="false" customHeight="false" outlineLevel="0" collapsed="false">
      <c r="A7" s="72"/>
      <c r="B7" s="72"/>
      <c r="C7" s="72"/>
      <c r="D7" s="72"/>
      <c r="E7" s="72"/>
      <c r="F7" s="72"/>
      <c r="G7" s="72"/>
      <c r="H7" s="73"/>
      <c r="I7" s="73"/>
      <c r="J7" s="73"/>
      <c r="K7" s="73"/>
      <c r="L7" s="73"/>
      <c r="M7" s="73"/>
      <c r="N7" s="73"/>
      <c r="O7" s="73"/>
    </row>
    <row r="8" customFormat="false" ht="14.25" hidden="false" customHeight="true" outlineLevel="0" collapsed="false">
      <c r="A8" s="72"/>
      <c r="B8" s="72"/>
      <c r="C8" s="72"/>
      <c r="D8" s="72"/>
      <c r="E8" s="72"/>
      <c r="F8" s="72"/>
      <c r="G8" s="72"/>
      <c r="H8" s="73" t="s">
        <v>64</v>
      </c>
      <c r="I8" s="73"/>
      <c r="J8" s="73" t="s">
        <v>65</v>
      </c>
      <c r="K8" s="73"/>
      <c r="L8" s="73" t="s">
        <v>64</v>
      </c>
      <c r="M8" s="73"/>
      <c r="N8" s="73" t="s">
        <v>65</v>
      </c>
      <c r="O8" s="73"/>
    </row>
    <row r="9" customFormat="false" ht="14.25" hidden="false" customHeight="false" outlineLevel="0" collapsed="false">
      <c r="A9" s="72"/>
      <c r="B9" s="72"/>
      <c r="C9" s="72"/>
      <c r="D9" s="72"/>
      <c r="E9" s="72"/>
      <c r="F9" s="72"/>
      <c r="G9" s="72"/>
      <c r="H9" s="73"/>
      <c r="I9" s="73"/>
      <c r="J9" s="73"/>
      <c r="K9" s="73"/>
      <c r="L9" s="73"/>
      <c r="M9" s="73"/>
      <c r="N9" s="73"/>
      <c r="O9" s="73"/>
    </row>
    <row r="10" customFormat="false" ht="14.25" hidden="false" customHeight="true" outlineLevel="0" collapsed="false">
      <c r="A10" s="72"/>
      <c r="B10" s="72"/>
      <c r="C10" s="72"/>
      <c r="D10" s="72"/>
      <c r="E10" s="72"/>
      <c r="F10" s="72"/>
      <c r="G10" s="72"/>
      <c r="H10" s="74" t="s">
        <v>45</v>
      </c>
      <c r="I10" s="74" t="s">
        <v>66</v>
      </c>
      <c r="J10" s="74" t="s">
        <v>67</v>
      </c>
      <c r="K10" s="74"/>
      <c r="L10" s="74" t="s">
        <v>45</v>
      </c>
      <c r="M10" s="74" t="s">
        <v>66</v>
      </c>
      <c r="N10" s="74" t="s">
        <v>67</v>
      </c>
      <c r="O10" s="74"/>
    </row>
    <row r="11" customFormat="false" ht="14.25" hidden="false" customHeight="false" outlineLevel="0" collapsed="false">
      <c r="A11" s="72"/>
      <c r="B11" s="72"/>
      <c r="C11" s="72"/>
      <c r="D11" s="72"/>
      <c r="E11" s="72"/>
      <c r="F11" s="72"/>
      <c r="G11" s="72"/>
      <c r="H11" s="74"/>
      <c r="I11" s="74"/>
      <c r="J11" s="74"/>
      <c r="K11" s="74"/>
      <c r="L11" s="74"/>
      <c r="M11" s="74"/>
      <c r="N11" s="74"/>
      <c r="O11" s="74"/>
    </row>
    <row r="12" customFormat="false" ht="14.25" hidden="false" customHeight="true" outlineLevel="0" collapsed="false">
      <c r="A12" s="68" t="n">
        <v>1</v>
      </c>
      <c r="B12" s="75" t="s">
        <v>68</v>
      </c>
      <c r="C12" s="75"/>
      <c r="D12" s="75"/>
      <c r="E12" s="75"/>
      <c r="F12" s="75"/>
      <c r="G12" s="75"/>
      <c r="H12" s="76" t="n">
        <f aca="false">'W&amp;B Dane'!B4</f>
        <v>757</v>
      </c>
      <c r="I12" s="77" t="n">
        <f aca="false">H12*'W&amp;B Dane'!$B$1</f>
        <v>1668.89734</v>
      </c>
      <c r="J12" s="76" t="n">
        <f aca="false">I12*'W&amp;B Dane'!F1/1000</f>
        <v>61.828047123622</v>
      </c>
      <c r="K12" s="76"/>
      <c r="L12" s="76" t="n">
        <f aca="false">H12</f>
        <v>757</v>
      </c>
      <c r="M12" s="77" t="n">
        <f aca="false">I12</f>
        <v>1668.89734</v>
      </c>
      <c r="N12" s="76" t="n">
        <f aca="false">J12</f>
        <v>61.828047123622</v>
      </c>
      <c r="O12" s="76"/>
      <c r="S12" s="78"/>
      <c r="T12" s="78"/>
    </row>
    <row r="13" customFormat="false" ht="14.25" hidden="false" customHeight="true" outlineLevel="0" collapsed="false">
      <c r="A13" s="68"/>
      <c r="B13" s="75"/>
      <c r="C13" s="75"/>
      <c r="D13" s="75"/>
      <c r="E13" s="75"/>
      <c r="F13" s="75"/>
      <c r="G13" s="75"/>
      <c r="H13" s="76"/>
      <c r="I13" s="77"/>
      <c r="J13" s="76"/>
      <c r="K13" s="76"/>
      <c r="L13" s="76"/>
      <c r="M13" s="77"/>
      <c r="N13" s="76"/>
      <c r="O13" s="76"/>
      <c r="S13" s="78"/>
      <c r="T13" s="78"/>
    </row>
    <row r="14" customFormat="false" ht="15" hidden="false" customHeight="true" outlineLevel="0" collapsed="false">
      <c r="A14" s="68" t="n">
        <v>2</v>
      </c>
      <c r="B14" s="75" t="s">
        <v>43</v>
      </c>
      <c r="C14" s="75"/>
      <c r="D14" s="75"/>
      <c r="E14" s="75"/>
      <c r="F14" s="75"/>
      <c r="G14" s="75"/>
      <c r="H14" s="76" t="n">
        <f aca="false">'W&amp;B Dane'!B6*'W&amp;B Dane'!B2</f>
        <v>51.912</v>
      </c>
      <c r="I14" s="77" t="n">
        <f aca="false">H14*'W&amp;B Dane'!$B$1</f>
        <v>114.44623344</v>
      </c>
      <c r="J14" s="76" t="n">
        <f aca="false">I14*'W&amp;B Dane'!F3/1000</f>
        <v>5.48874793028571</v>
      </c>
      <c r="K14" s="76"/>
      <c r="L14" s="75" t="n">
        <f aca="false">'W&amp;B Dane'!B7*'W&amp;B Dane'!B2</f>
        <v>32.445</v>
      </c>
      <c r="M14" s="77" t="n">
        <f aca="false">L14*'W&amp;B Dane'!$B$1</f>
        <v>71.5288959</v>
      </c>
      <c r="N14" s="76" t="n">
        <f aca="false">M14*'W&amp;B Dane'!F3/1000</f>
        <v>3.43046745642857</v>
      </c>
      <c r="O14" s="76"/>
      <c r="T14" s="78"/>
    </row>
    <row r="15" customFormat="false" ht="15.75" hidden="false" customHeight="true" outlineLevel="0" collapsed="false">
      <c r="A15" s="68"/>
      <c r="B15" s="75"/>
      <c r="C15" s="75"/>
      <c r="D15" s="75"/>
      <c r="E15" s="75"/>
      <c r="F15" s="75"/>
      <c r="G15" s="75"/>
      <c r="H15" s="76"/>
      <c r="I15" s="77"/>
      <c r="J15" s="76"/>
      <c r="K15" s="76"/>
      <c r="L15" s="75"/>
      <c r="M15" s="77"/>
      <c r="N15" s="76"/>
      <c r="O15" s="76"/>
    </row>
    <row r="16" customFormat="false" ht="15" hidden="false" customHeight="true" outlineLevel="0" collapsed="false">
      <c r="A16" s="68" t="n">
        <v>3</v>
      </c>
      <c r="B16" s="79" t="s">
        <v>69</v>
      </c>
      <c r="C16" s="79"/>
      <c r="D16" s="79"/>
      <c r="E16" s="79"/>
      <c r="F16" s="79"/>
      <c r="G16" s="79"/>
      <c r="H16" s="75" t="n">
        <f aca="false">'W&amp;B Dane'!B8+PAX!F14</f>
        <v>170</v>
      </c>
      <c r="I16" s="77" t="n">
        <f aca="false">H16*'W&amp;B Dane'!$B$1</f>
        <v>374.7854</v>
      </c>
      <c r="J16" s="76" t="n">
        <f aca="false">I16*'W&amp;B Dane'!F4/1000</f>
        <v>13.8670598</v>
      </c>
      <c r="K16" s="76"/>
      <c r="L16" s="75" t="n">
        <f aca="false">H16</f>
        <v>170</v>
      </c>
      <c r="M16" s="77" t="n">
        <f aca="false">I16</f>
        <v>374.7854</v>
      </c>
      <c r="N16" s="76" t="n">
        <f aca="false">J16</f>
        <v>13.8670598</v>
      </c>
      <c r="O16" s="76"/>
    </row>
    <row r="17" customFormat="false" ht="15.75" hidden="false" customHeight="true" outlineLevel="0" collapsed="false">
      <c r="A17" s="68"/>
      <c r="B17" s="80" t="n">
        <f aca="false">'W&amp;B Dane'!B8</f>
        <v>70</v>
      </c>
      <c r="C17" s="80"/>
      <c r="D17" s="81" t="s">
        <v>70</v>
      </c>
      <c r="E17" s="81"/>
      <c r="F17" s="82" t="n">
        <f aca="false">'UZUPELNIJ PRZED LOTEM'!B2</f>
        <v>100</v>
      </c>
      <c r="G17" s="82"/>
      <c r="H17" s="75"/>
      <c r="I17" s="77"/>
      <c r="J17" s="76"/>
      <c r="K17" s="76"/>
      <c r="L17" s="75"/>
      <c r="M17" s="77"/>
      <c r="N17" s="76"/>
      <c r="O17" s="76"/>
    </row>
    <row r="18" customFormat="false" ht="15" hidden="false" customHeight="true" outlineLevel="0" collapsed="false">
      <c r="A18" s="68" t="n">
        <v>4</v>
      </c>
      <c r="B18" s="79" t="s">
        <v>71</v>
      </c>
      <c r="C18" s="79"/>
      <c r="D18" s="79"/>
      <c r="E18" s="79"/>
      <c r="F18" s="79"/>
      <c r="G18" s="79"/>
      <c r="H18" s="75" t="n">
        <f aca="false">PAX!F15+PAX!F16</f>
        <v>140</v>
      </c>
      <c r="I18" s="77" t="n">
        <f aca="false">H18*'W&amp;B Dane'!$B$1</f>
        <v>308.6468</v>
      </c>
      <c r="J18" s="76" t="n">
        <f aca="false">I18*'W&amp;B Dane'!F5/1000</f>
        <v>22.5312164</v>
      </c>
      <c r="K18" s="76"/>
      <c r="L18" s="75" t="n">
        <f aca="false">H18</f>
        <v>140</v>
      </c>
      <c r="M18" s="77" t="n">
        <f aca="false">I18</f>
        <v>308.6468</v>
      </c>
      <c r="N18" s="76" t="n">
        <f aca="false">J18</f>
        <v>22.5312164</v>
      </c>
      <c r="O18" s="76"/>
    </row>
    <row r="19" customFormat="false" ht="15.75" hidden="false" customHeight="true" outlineLevel="0" collapsed="false">
      <c r="A19" s="68"/>
      <c r="B19" s="80" t="n">
        <f aca="false">'UZUPELNIJ PRZED LOTEM'!B3</f>
        <v>70</v>
      </c>
      <c r="C19" s="80"/>
      <c r="D19" s="81" t="s">
        <v>70</v>
      </c>
      <c r="E19" s="81"/>
      <c r="F19" s="82" t="n">
        <f aca="false">'UZUPELNIJ PRZED LOTEM'!B4</f>
        <v>70</v>
      </c>
      <c r="G19" s="82"/>
      <c r="H19" s="75"/>
      <c r="I19" s="77"/>
      <c r="J19" s="76"/>
      <c r="K19" s="76"/>
      <c r="L19" s="75"/>
      <c r="M19" s="77"/>
      <c r="N19" s="76"/>
      <c r="O19" s="76"/>
    </row>
    <row r="20" customFormat="false" ht="15" hidden="false" customHeight="true" outlineLevel="0" collapsed="false">
      <c r="A20" s="68" t="n">
        <v>5</v>
      </c>
      <c r="B20" s="75" t="s">
        <v>50</v>
      </c>
      <c r="C20" s="75"/>
      <c r="D20" s="75"/>
      <c r="E20" s="75"/>
      <c r="F20" s="75"/>
      <c r="G20" s="75"/>
      <c r="H20" s="75" t="n">
        <v>0</v>
      </c>
      <c r="I20" s="77" t="n">
        <f aca="false">H20*'W&amp;B Dane'!$B$1</f>
        <v>0</v>
      </c>
      <c r="J20" s="76" t="n">
        <f aca="false">I20*'W&amp;B Dane'!F6/1000</f>
        <v>0</v>
      </c>
      <c r="K20" s="76"/>
      <c r="L20" s="79" t="n">
        <f aca="false">H20</f>
        <v>0</v>
      </c>
      <c r="M20" s="83" t="n">
        <f aca="false">L20*'W&amp;B Dane'!$B$1</f>
        <v>0</v>
      </c>
      <c r="N20" s="84" t="n">
        <f aca="false">M20*'W&amp;B Dane'!F6/1000</f>
        <v>0</v>
      </c>
      <c r="O20" s="84"/>
    </row>
    <row r="21" customFormat="false" ht="15.75" hidden="false" customHeight="true" outlineLevel="0" collapsed="false">
      <c r="A21" s="68"/>
      <c r="B21" s="75"/>
      <c r="C21" s="75"/>
      <c r="D21" s="75"/>
      <c r="E21" s="75"/>
      <c r="F21" s="75"/>
      <c r="G21" s="75"/>
      <c r="H21" s="75"/>
      <c r="I21" s="77"/>
      <c r="J21" s="76"/>
      <c r="K21" s="76"/>
      <c r="L21" s="79"/>
      <c r="M21" s="83"/>
      <c r="N21" s="84"/>
      <c r="O21" s="84"/>
    </row>
    <row r="22" customFormat="false" ht="14.25" hidden="false" customHeight="true" outlineLevel="0" collapsed="false">
      <c r="A22" s="68" t="n">
        <v>6</v>
      </c>
      <c r="B22" s="75" t="s">
        <v>72</v>
      </c>
      <c r="C22" s="75"/>
      <c r="D22" s="75"/>
      <c r="E22" s="75"/>
      <c r="F22" s="75"/>
      <c r="G22" s="75"/>
      <c r="H22" s="79" t="s">
        <v>73</v>
      </c>
      <c r="I22" s="85" t="n">
        <f aca="false">SUM(I12:I21)</f>
        <v>2466.77577344</v>
      </c>
      <c r="J22" s="86" t="n">
        <f aca="false">SUM(J12:K21)</f>
        <v>103.715071253908</v>
      </c>
      <c r="K22" s="86"/>
      <c r="L22" s="87"/>
      <c r="M22" s="87"/>
      <c r="N22" s="87"/>
      <c r="O22" s="87"/>
      <c r="T22" s="88"/>
    </row>
    <row r="23" customFormat="false" ht="14.25" hidden="false" customHeight="false" outlineLevel="0" collapsed="false">
      <c r="A23" s="68"/>
      <c r="B23" s="75"/>
      <c r="C23" s="75"/>
      <c r="D23" s="75"/>
      <c r="E23" s="75"/>
      <c r="F23" s="75"/>
      <c r="G23" s="75"/>
      <c r="H23" s="79"/>
      <c r="I23" s="85"/>
      <c r="J23" s="86"/>
      <c r="K23" s="86"/>
      <c r="L23" s="87"/>
      <c r="M23" s="87"/>
      <c r="N23" s="87"/>
      <c r="O23" s="87"/>
    </row>
    <row r="24" customFormat="false" ht="14.25" hidden="false" customHeight="true" outlineLevel="0" collapsed="false">
      <c r="A24" s="68" t="n">
        <v>7</v>
      </c>
      <c r="B24" s="89" t="s">
        <v>74</v>
      </c>
      <c r="C24" s="89"/>
      <c r="D24" s="89"/>
      <c r="E24" s="89"/>
      <c r="F24" s="89"/>
      <c r="G24" s="89"/>
      <c r="H24" s="87"/>
      <c r="I24" s="87"/>
      <c r="J24" s="87"/>
      <c r="K24" s="87"/>
      <c r="L24" s="82" t="s">
        <v>75</v>
      </c>
      <c r="M24" s="90" t="n">
        <f aca="false">SUM(M12:M21)</f>
        <v>2423.8584359</v>
      </c>
      <c r="N24" s="91" t="n">
        <f aca="false">SUM(N12:O21)</f>
        <v>101.656790780051</v>
      </c>
      <c r="O24" s="91"/>
    </row>
    <row r="25" customFormat="false" ht="14.25" hidden="false" customHeight="false" outlineLevel="0" collapsed="false">
      <c r="A25" s="68"/>
      <c r="B25" s="89"/>
      <c r="C25" s="89"/>
      <c r="D25" s="89"/>
      <c r="E25" s="89"/>
      <c r="F25" s="89"/>
      <c r="G25" s="89"/>
      <c r="H25" s="87"/>
      <c r="I25" s="87"/>
      <c r="J25" s="87"/>
      <c r="K25" s="87"/>
      <c r="L25" s="82"/>
      <c r="M25" s="90"/>
      <c r="N25" s="91"/>
      <c r="O25" s="91"/>
    </row>
    <row r="26" customFormat="false" ht="14.25" hidden="false" customHeight="true" outlineLevel="0" collapsed="false">
      <c r="A26" s="68" t="n">
        <v>8</v>
      </c>
      <c r="B26" s="73" t="s">
        <v>76</v>
      </c>
      <c r="C26" s="73"/>
      <c r="D26" s="73"/>
      <c r="E26" s="73"/>
      <c r="F26" s="73"/>
      <c r="G26" s="73"/>
      <c r="H26" s="92" t="s">
        <v>77</v>
      </c>
      <c r="I26" s="92"/>
      <c r="J26" s="93" t="n">
        <f aca="false">J22*1000/I22</f>
        <v>42.0447907631563</v>
      </c>
      <c r="K26" s="93"/>
      <c r="L26" s="68" t="s">
        <v>78</v>
      </c>
      <c r="M26" s="68"/>
      <c r="N26" s="94" t="n">
        <f aca="false">N24*1000/M24</f>
        <v>41.940069302069</v>
      </c>
      <c r="O26" s="94"/>
    </row>
    <row r="27" customFormat="false" ht="14.25" hidden="false" customHeight="false" outlineLevel="0" collapsed="false">
      <c r="A27" s="68"/>
      <c r="B27" s="73"/>
      <c r="C27" s="73"/>
      <c r="D27" s="73"/>
      <c r="E27" s="73"/>
      <c r="F27" s="73"/>
      <c r="G27" s="73"/>
      <c r="H27" s="92"/>
      <c r="I27" s="92"/>
      <c r="J27" s="93"/>
      <c r="K27" s="93"/>
      <c r="L27" s="68"/>
      <c r="M27" s="68"/>
      <c r="N27" s="94"/>
      <c r="O27" s="94"/>
    </row>
    <row r="28" customFormat="false" ht="14.25" hidden="false" customHeight="true" outlineLevel="0" collapsed="false">
      <c r="A28" s="73" t="s">
        <v>79</v>
      </c>
      <c r="B28" s="73"/>
      <c r="C28" s="73"/>
      <c r="D28" s="73"/>
      <c r="E28" s="73"/>
      <c r="F28" s="69" t="s">
        <v>80</v>
      </c>
      <c r="G28" s="69"/>
      <c r="H28" s="69"/>
      <c r="I28" s="73" t="s">
        <v>81</v>
      </c>
      <c r="J28" s="73"/>
      <c r="K28" s="73"/>
      <c r="L28" s="69"/>
      <c r="M28" s="69"/>
      <c r="N28" s="69"/>
      <c r="O28" s="69"/>
    </row>
    <row r="29" customFormat="false" ht="14.25" hidden="false" customHeight="false" outlineLevel="0" collapsed="false">
      <c r="A29" s="73"/>
      <c r="B29" s="73"/>
      <c r="C29" s="73"/>
      <c r="D29" s="73"/>
      <c r="E29" s="73"/>
      <c r="F29" s="69"/>
      <c r="G29" s="69"/>
      <c r="H29" s="69"/>
      <c r="I29" s="73"/>
      <c r="J29" s="73"/>
      <c r="K29" s="73"/>
      <c r="L29" s="69"/>
      <c r="M29" s="69"/>
      <c r="N29" s="69"/>
      <c r="O29" s="69"/>
    </row>
    <row r="30" customFormat="false" ht="14.25" hidden="false" customHeight="false" outlineLevel="0" collapsed="false">
      <c r="A30" s="95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7"/>
    </row>
    <row r="32" customFormat="false" ht="14.25" hidden="false" customHeight="false" outlineLevel="0" collapsed="false">
      <c r="G32" s="78" t="n">
        <f aca="false">J22</f>
        <v>103.715071253908</v>
      </c>
      <c r="H32" s="14" t="n">
        <f aca="false">I22</f>
        <v>2466.77577344</v>
      </c>
    </row>
    <row r="33" customFormat="false" ht="14.25" hidden="false" customHeight="false" outlineLevel="0" collapsed="false">
      <c r="G33" s="78" t="n">
        <f aca="false">N24</f>
        <v>101.656790780051</v>
      </c>
      <c r="H33" s="98" t="n">
        <f aca="false">M24</f>
        <v>2423.8584359</v>
      </c>
    </row>
  </sheetData>
  <mergeCells count="97">
    <mergeCell ref="A1:G2"/>
    <mergeCell ref="H1:I2"/>
    <mergeCell ref="J1:O2"/>
    <mergeCell ref="A3:B3"/>
    <mergeCell ref="C3:F3"/>
    <mergeCell ref="G3:J3"/>
    <mergeCell ref="K3:M3"/>
    <mergeCell ref="N3:O3"/>
    <mergeCell ref="A4:B4"/>
    <mergeCell ref="C4:F5"/>
    <mergeCell ref="G4:G5"/>
    <mergeCell ref="H4:H5"/>
    <mergeCell ref="I4:J5"/>
    <mergeCell ref="K4:M5"/>
    <mergeCell ref="N4:O5"/>
    <mergeCell ref="A6:A11"/>
    <mergeCell ref="B6:G11"/>
    <mergeCell ref="H6:K7"/>
    <mergeCell ref="L6:O7"/>
    <mergeCell ref="H8:I9"/>
    <mergeCell ref="J8:K9"/>
    <mergeCell ref="L8:M9"/>
    <mergeCell ref="N8:O9"/>
    <mergeCell ref="H10:H11"/>
    <mergeCell ref="I10:I11"/>
    <mergeCell ref="J10:K11"/>
    <mergeCell ref="L10:L11"/>
    <mergeCell ref="M10:M11"/>
    <mergeCell ref="N10:O11"/>
    <mergeCell ref="A12:A13"/>
    <mergeCell ref="B12:G13"/>
    <mergeCell ref="H12:H13"/>
    <mergeCell ref="I12:I13"/>
    <mergeCell ref="J12:K13"/>
    <mergeCell ref="L12:L13"/>
    <mergeCell ref="M12:M13"/>
    <mergeCell ref="N12:O13"/>
    <mergeCell ref="A14:A15"/>
    <mergeCell ref="B14:G15"/>
    <mergeCell ref="H14:H15"/>
    <mergeCell ref="I14:I15"/>
    <mergeCell ref="J14:K15"/>
    <mergeCell ref="L14:L15"/>
    <mergeCell ref="M14:M15"/>
    <mergeCell ref="N14:O15"/>
    <mergeCell ref="A16:A17"/>
    <mergeCell ref="B16:G16"/>
    <mergeCell ref="H16:H17"/>
    <mergeCell ref="I16:I17"/>
    <mergeCell ref="J16:K17"/>
    <mergeCell ref="L16:L17"/>
    <mergeCell ref="M16:M17"/>
    <mergeCell ref="N16:O17"/>
    <mergeCell ref="B17:C17"/>
    <mergeCell ref="D17:E17"/>
    <mergeCell ref="F17:G17"/>
    <mergeCell ref="A18:A19"/>
    <mergeCell ref="B18:G18"/>
    <mergeCell ref="H18:H19"/>
    <mergeCell ref="I18:I19"/>
    <mergeCell ref="J18:K19"/>
    <mergeCell ref="L18:L19"/>
    <mergeCell ref="M18:M19"/>
    <mergeCell ref="N18:O19"/>
    <mergeCell ref="B19:C19"/>
    <mergeCell ref="D19:E19"/>
    <mergeCell ref="F19:G19"/>
    <mergeCell ref="A20:A21"/>
    <mergeCell ref="B20:G21"/>
    <mergeCell ref="H20:H21"/>
    <mergeCell ref="I20:I21"/>
    <mergeCell ref="J20:K21"/>
    <mergeCell ref="L20:L21"/>
    <mergeCell ref="M20:M21"/>
    <mergeCell ref="N20:O21"/>
    <mergeCell ref="A22:A23"/>
    <mergeCell ref="B22:G23"/>
    <mergeCell ref="H22:H23"/>
    <mergeCell ref="I22:I23"/>
    <mergeCell ref="J22:K23"/>
    <mergeCell ref="L22:O23"/>
    <mergeCell ref="A24:A25"/>
    <mergeCell ref="B24:G25"/>
    <mergeCell ref="H24:K25"/>
    <mergeCell ref="L24:L25"/>
    <mergeCell ref="M24:M25"/>
    <mergeCell ref="N24:O25"/>
    <mergeCell ref="A26:A27"/>
    <mergeCell ref="B26:G27"/>
    <mergeCell ref="H26:I27"/>
    <mergeCell ref="J26:K27"/>
    <mergeCell ref="L26:M27"/>
    <mergeCell ref="N26:O27"/>
    <mergeCell ref="A28:E29"/>
    <mergeCell ref="F28:H29"/>
    <mergeCell ref="I28:K29"/>
    <mergeCell ref="L28:O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2006-09-22T13:37:00Z</dcterms:created>
  <dc:creator>Dell</dc:creator>
  <dc:description/>
  <dc:language>pl-PL</dc:language>
  <cp:lastModifiedBy/>
  <cp:lastPrinted>2025-07-30T20:36:17Z</cp:lastPrinted>
  <dcterms:modified xsi:type="dcterms:W3CDTF">2025-08-04T13:10:16Z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A50234787A024DBBBED49E6375C30D4B_13</vt:lpwstr>
  </property>
  <property fmtid="{D5CDD505-2E9C-101B-9397-08002B2CF9AE}" pid="3" name="KSOProductBuildVer">
    <vt:lpwstr>1045-12.2.0.17119</vt:lpwstr>
  </property>
</Properties>
</file>